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24-262904\Downloads\"/>
    </mc:Choice>
  </mc:AlternateContent>
  <bookViews>
    <workbookView xWindow="0" yWindow="0" windowWidth="20490" windowHeight="7635"/>
  </bookViews>
  <sheets>
    <sheet name="Sheet1" sheetId="1" r:id="rId1"/>
    <sheet name="BSIT" sheetId="4" r:id="rId2"/>
    <sheet name="BSN" sheetId="5" r:id="rId3"/>
    <sheet name="BSEMC" sheetId="6" r:id="rId4"/>
    <sheet name="PASSED" sheetId="2" r:id="rId5"/>
    <sheet name="FAILED" sheetId="3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H2" i="1"/>
  <c r="E11" i="1"/>
  <c r="E10" i="1"/>
  <c r="E9" i="1"/>
  <c r="E8" i="1"/>
  <c r="E7" i="1"/>
  <c r="E6" i="1"/>
  <c r="E5" i="1"/>
  <c r="E4" i="1"/>
  <c r="E3" i="1"/>
  <c r="E2" i="1"/>
  <c r="D2" i="1"/>
  <c r="H9" i="1"/>
  <c r="H5" i="1"/>
  <c r="H11" i="1"/>
  <c r="H10" i="1"/>
  <c r="H8" i="1"/>
  <c r="H7" i="1"/>
  <c r="H6" i="1"/>
  <c r="H3" i="1"/>
  <c r="D3" i="1"/>
  <c r="H4" i="1" s="1"/>
  <c r="D4" i="1"/>
  <c r="D5" i="1"/>
  <c r="D6" i="1"/>
  <c r="D7" i="1"/>
  <c r="D8" i="1"/>
  <c r="D9" i="1"/>
  <c r="D10" i="1"/>
  <c r="D11" i="1"/>
</calcChain>
</file>

<file path=xl/sharedStrings.xml><?xml version="1.0" encoding="utf-8"?>
<sst xmlns="http://schemas.openxmlformats.org/spreadsheetml/2006/main" count="88" uniqueCount="24">
  <si>
    <t>NO</t>
  </si>
  <si>
    <t>GRADES 10</t>
  </si>
  <si>
    <t>COURSE</t>
  </si>
  <si>
    <t>BSIT</t>
  </si>
  <si>
    <t>BSIT-BA</t>
  </si>
  <si>
    <t>BSEMC</t>
  </si>
  <si>
    <t>REMARKS</t>
  </si>
  <si>
    <t>AVERAGE</t>
  </si>
  <si>
    <t>COUNT</t>
  </si>
  <si>
    <t>COUNTIF-FAILED</t>
  </si>
  <si>
    <t>COUNT IF &gt;85</t>
  </si>
  <si>
    <t>MAX</t>
  </si>
  <si>
    <t>MIN</t>
  </si>
  <si>
    <t>MEDIAN</t>
  </si>
  <si>
    <t>MODE</t>
  </si>
  <si>
    <t>STANDARD DEVIATION</t>
  </si>
  <si>
    <t>VARIANE</t>
  </si>
  <si>
    <t>FUNCTION</t>
  </si>
  <si>
    <t>PLUS POINTS</t>
  </si>
  <si>
    <t xml:space="preserve">‎ </t>
  </si>
  <si>
    <t>BONUS POINTS</t>
  </si>
  <si>
    <t>PASSED</t>
  </si>
  <si>
    <t>FAILED</t>
  </si>
  <si>
    <t>BSN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</si>
</sst>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1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242424"/>
      <name val="Consolas"/>
      <family val="3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171" fontId="2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3" borderId="2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10"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Consolas"/>
        <scheme val="none"/>
      </font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11" totalsRowShown="0" headerRowDxfId="4" dataDxfId="5">
  <autoFilter ref="A1:F11"/>
  <tableColumns count="6">
    <tableColumn id="1" name="NO" dataDxfId="9"/>
    <tableColumn id="2" name="GRADES 10" dataDxfId="8"/>
    <tableColumn id="3" name="COURSE" dataDxfId="7"/>
    <tableColumn id="4" name="REMARKS" dataDxfId="6">
      <calculatedColumnFormula>IF(B2&gt;74,"PASSED","FAILED")</calculatedColumnFormula>
    </tableColumn>
    <tableColumn id="5" name="PLUS POINTS" dataDxfId="3">
      <calculatedColumnFormula>IF(B2&gt;=85,"5","0")</calculatedColumnFormula>
    </tableColumn>
    <tableColumn id="6" name="BONUS POINTS" dataDxfId="2">
      <calculatedColumnFormula>IF(B2&gt;=85, B2*10%, B2*5%)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G1:H11" totalsRowShown="0">
  <autoFilter ref="G1:H11">
    <filterColumn colId="0" hiddenButton="1"/>
    <filterColumn colId="1" hiddenButton="1"/>
  </autoFilter>
  <tableColumns count="2">
    <tableColumn id="1" name="FUNCTION" dataDxfId="0"/>
    <tableColumn id="2" name="‎ 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G14" sqref="G14"/>
    </sheetView>
  </sheetViews>
  <sheetFormatPr defaultRowHeight="15" x14ac:dyDescent="0.25"/>
  <cols>
    <col min="1" max="1" width="10.85546875" customWidth="1"/>
    <col min="2" max="2" width="18.140625" customWidth="1"/>
    <col min="3" max="3" width="16.42578125" customWidth="1"/>
    <col min="4" max="4" width="16.140625" customWidth="1"/>
    <col min="5" max="5" width="16.85546875" customWidth="1"/>
    <col min="6" max="6" width="21.5703125" customWidth="1"/>
    <col min="7" max="7" width="23.140625" customWidth="1"/>
    <col min="8" max="8" width="12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6</v>
      </c>
      <c r="E1" s="1" t="s">
        <v>18</v>
      </c>
      <c r="F1" s="1" t="s">
        <v>20</v>
      </c>
      <c r="G1" s="1" t="s">
        <v>17</v>
      </c>
      <c r="H1" t="s">
        <v>19</v>
      </c>
    </row>
    <row r="2" spans="1:8" x14ac:dyDescent="0.25">
      <c r="A2" s="1">
        <v>1</v>
      </c>
      <c r="B2" s="1">
        <v>85</v>
      </c>
      <c r="C2" s="1" t="s">
        <v>5</v>
      </c>
      <c r="D2" s="1" t="str">
        <f t="shared" ref="D2:D11" si="0">IF(B2&gt;74,"PASSED","FAILED")</f>
        <v>PASSED</v>
      </c>
      <c r="E2" s="1" t="str">
        <f t="shared" ref="E2:E11" si="1">IF(B2&gt;=85,"5","0")</f>
        <v>5</v>
      </c>
      <c r="F2" s="1">
        <f t="shared" ref="F2:F11" si="2">IF(B2&gt;=85, B2*10%, B2*5%)</f>
        <v>8.5</v>
      </c>
      <c r="G2" s="1" t="s">
        <v>7</v>
      </c>
      <c r="H2" s="3">
        <f>AVERAGE(B2:B11)</f>
        <v>83.6</v>
      </c>
    </row>
    <row r="3" spans="1:8" x14ac:dyDescent="0.25">
      <c r="A3" s="1">
        <v>2</v>
      </c>
      <c r="B3" s="1">
        <v>92</v>
      </c>
      <c r="C3" s="1" t="s">
        <v>3</v>
      </c>
      <c r="D3" s="1" t="str">
        <f t="shared" si="0"/>
        <v>PASSED</v>
      </c>
      <c r="E3" s="1" t="str">
        <f t="shared" si="1"/>
        <v>5</v>
      </c>
      <c r="F3" s="1">
        <f t="shared" si="2"/>
        <v>9.2000000000000011</v>
      </c>
      <c r="G3" s="1" t="s">
        <v>8</v>
      </c>
      <c r="H3" s="2">
        <f>COUNT(B2:B11)</f>
        <v>10</v>
      </c>
    </row>
    <row r="4" spans="1:8" x14ac:dyDescent="0.25">
      <c r="A4" s="1">
        <v>3</v>
      </c>
      <c r="B4" s="1">
        <v>74</v>
      </c>
      <c r="C4" s="1" t="s">
        <v>23</v>
      </c>
      <c r="D4" s="1" t="str">
        <f t="shared" si="0"/>
        <v>FAILED</v>
      </c>
      <c r="E4" s="1" t="str">
        <f t="shared" si="1"/>
        <v>0</v>
      </c>
      <c r="F4" s="1">
        <f t="shared" si="2"/>
        <v>3.7</v>
      </c>
      <c r="G4" s="11" t="s">
        <v>9</v>
      </c>
      <c r="H4" s="2">
        <f>COUNTIF(D2:D11,"FAILED")</f>
        <v>3</v>
      </c>
    </row>
    <row r="5" spans="1:8" x14ac:dyDescent="0.25">
      <c r="A5" s="1">
        <v>4</v>
      </c>
      <c r="B5" s="1">
        <v>88</v>
      </c>
      <c r="C5" s="1" t="s">
        <v>3</v>
      </c>
      <c r="D5" s="1" t="str">
        <f t="shared" si="0"/>
        <v>PASSED</v>
      </c>
      <c r="E5" s="1" t="str">
        <f t="shared" si="1"/>
        <v>5</v>
      </c>
      <c r="F5" s="1">
        <f t="shared" si="2"/>
        <v>8.8000000000000007</v>
      </c>
      <c r="G5" s="11" t="s">
        <v>10</v>
      </c>
      <c r="H5" s="2">
        <f>COUNTIF(B2:B11,"&gt;80")</f>
        <v>6</v>
      </c>
    </row>
    <row r="6" spans="1:8" x14ac:dyDescent="0.25">
      <c r="A6" s="1">
        <v>5</v>
      </c>
      <c r="B6" s="1">
        <v>74</v>
      </c>
      <c r="C6" s="1" t="s">
        <v>5</v>
      </c>
      <c r="D6" s="1" t="str">
        <f t="shared" si="0"/>
        <v>FAILED</v>
      </c>
      <c r="E6" s="1" t="str">
        <f t="shared" si="1"/>
        <v>0</v>
      </c>
      <c r="F6" s="1">
        <f t="shared" si="2"/>
        <v>3.7</v>
      </c>
      <c r="G6" s="1" t="s">
        <v>11</v>
      </c>
      <c r="H6" s="2">
        <f>MAX(B2:B11)</f>
        <v>97</v>
      </c>
    </row>
    <row r="7" spans="1:8" x14ac:dyDescent="0.25">
      <c r="A7" s="1">
        <v>6</v>
      </c>
      <c r="B7" s="1">
        <v>97</v>
      </c>
      <c r="C7" s="1" t="s">
        <v>23</v>
      </c>
      <c r="D7" s="1" t="str">
        <f t="shared" si="0"/>
        <v>PASSED</v>
      </c>
      <c r="E7" s="1" t="str">
        <f t="shared" si="1"/>
        <v>5</v>
      </c>
      <c r="F7" s="1">
        <f t="shared" si="2"/>
        <v>9.7000000000000011</v>
      </c>
      <c r="G7" s="1" t="s">
        <v>12</v>
      </c>
      <c r="H7" s="2">
        <f>MIN(B2:B11)</f>
        <v>73</v>
      </c>
    </row>
    <row r="8" spans="1:8" x14ac:dyDescent="0.25">
      <c r="A8" s="1">
        <v>7</v>
      </c>
      <c r="B8" s="1">
        <v>79</v>
      </c>
      <c r="C8" s="1" t="s">
        <v>3</v>
      </c>
      <c r="D8" s="1" t="str">
        <f t="shared" si="0"/>
        <v>PASSED</v>
      </c>
      <c r="E8" s="1" t="str">
        <f t="shared" si="1"/>
        <v>0</v>
      </c>
      <c r="F8" s="1">
        <f t="shared" si="2"/>
        <v>3.95</v>
      </c>
      <c r="G8" s="1" t="s">
        <v>13</v>
      </c>
      <c r="H8" s="2">
        <f>MEDIAN(B2:B12)</f>
        <v>84.5</v>
      </c>
    </row>
    <row r="9" spans="1:8" x14ac:dyDescent="0.25">
      <c r="A9" s="1">
        <v>8</v>
      </c>
      <c r="B9" s="1">
        <v>90</v>
      </c>
      <c r="C9" s="1" t="s">
        <v>5</v>
      </c>
      <c r="D9" s="1" t="str">
        <f t="shared" si="0"/>
        <v>PASSED</v>
      </c>
      <c r="E9" s="1" t="str">
        <f t="shared" si="1"/>
        <v>5</v>
      </c>
      <c r="F9" s="1">
        <f t="shared" si="2"/>
        <v>9</v>
      </c>
      <c r="G9" s="1" t="s">
        <v>14</v>
      </c>
      <c r="H9" s="2">
        <f>MODE(B2:B11)</f>
        <v>74</v>
      </c>
    </row>
    <row r="10" spans="1:8" x14ac:dyDescent="0.25">
      <c r="A10" s="1">
        <v>9</v>
      </c>
      <c r="B10" s="1">
        <v>73</v>
      </c>
      <c r="C10" s="1" t="s">
        <v>23</v>
      </c>
      <c r="D10" s="1" t="str">
        <f t="shared" si="0"/>
        <v>FAILED</v>
      </c>
      <c r="E10" s="1" t="str">
        <f t="shared" si="1"/>
        <v>0</v>
      </c>
      <c r="F10" s="1">
        <f t="shared" si="2"/>
        <v>3.6500000000000004</v>
      </c>
      <c r="G10" s="1" t="s">
        <v>15</v>
      </c>
      <c r="H10" s="4">
        <f>_xlfn.STDEV.P(B2:B11)</f>
        <v>7.9397732965116834</v>
      </c>
    </row>
    <row r="11" spans="1:8" x14ac:dyDescent="0.25">
      <c r="A11" s="1">
        <v>10</v>
      </c>
      <c r="B11" s="1">
        <v>84</v>
      </c>
      <c r="C11" s="1" t="s">
        <v>3</v>
      </c>
      <c r="D11" s="1" t="str">
        <f t="shared" si="0"/>
        <v>PASSED</v>
      </c>
      <c r="E11" s="1" t="str">
        <f t="shared" si="1"/>
        <v>0</v>
      </c>
      <c r="F11" s="1">
        <f t="shared" si="2"/>
        <v>4.2</v>
      </c>
      <c r="G11" s="1" t="s">
        <v>16</v>
      </c>
      <c r="H11" s="2">
        <f>_xlfn.VAR.P(B2:B11)</f>
        <v>63.04</v>
      </c>
    </row>
  </sheetData>
  <pageMargins left="0.7" right="0.7" top="0.75" bottom="0.75" header="0.3" footer="0.3"/>
  <pageSetup paperSize="9" orientation="portrait" horizontalDpi="0" verticalDpi="0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E11" sqref="E11"/>
    </sheetView>
  </sheetViews>
  <sheetFormatPr defaultRowHeight="15" x14ac:dyDescent="0.25"/>
  <cols>
    <col min="1" max="1" width="9" customWidth="1"/>
    <col min="2" max="2" width="15.28515625" customWidth="1"/>
    <col min="3" max="3" width="14.7109375" customWidth="1"/>
    <col min="4" max="4" width="13.5703125" customWidth="1"/>
  </cols>
  <sheetData>
    <row r="1" spans="1:4" x14ac:dyDescent="0.25">
      <c r="A1" s="5" t="s">
        <v>0</v>
      </c>
      <c r="B1" s="6" t="s">
        <v>1</v>
      </c>
      <c r="C1" s="6" t="s">
        <v>2</v>
      </c>
      <c r="D1" s="6" t="s">
        <v>6</v>
      </c>
    </row>
    <row r="2" spans="1:4" x14ac:dyDescent="0.25">
      <c r="A2" s="7">
        <v>2</v>
      </c>
      <c r="B2" s="8">
        <v>92</v>
      </c>
      <c r="C2" s="8" t="s">
        <v>3</v>
      </c>
      <c r="D2" s="8" t="s">
        <v>21</v>
      </c>
    </row>
    <row r="3" spans="1:4" x14ac:dyDescent="0.25">
      <c r="A3" s="9">
        <v>4</v>
      </c>
      <c r="B3" s="10">
        <v>88</v>
      </c>
      <c r="C3" s="10" t="s">
        <v>3</v>
      </c>
      <c r="D3" s="10" t="s">
        <v>21</v>
      </c>
    </row>
    <row r="4" spans="1:4" x14ac:dyDescent="0.25">
      <c r="A4" s="7">
        <v>7</v>
      </c>
      <c r="B4" s="8">
        <v>79</v>
      </c>
      <c r="C4" s="8" t="s">
        <v>3</v>
      </c>
      <c r="D4" s="8" t="s">
        <v>21</v>
      </c>
    </row>
    <row r="5" spans="1:4" x14ac:dyDescent="0.25">
      <c r="A5" s="9">
        <v>10</v>
      </c>
      <c r="B5" s="10">
        <v>84</v>
      </c>
      <c r="C5" s="10" t="s">
        <v>3</v>
      </c>
      <c r="D5" s="10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D18" sqref="D18"/>
    </sheetView>
  </sheetViews>
  <sheetFormatPr defaultRowHeight="15" x14ac:dyDescent="0.25"/>
  <cols>
    <col min="2" max="2" width="13" customWidth="1"/>
    <col min="3" max="3" width="11.42578125" customWidth="1"/>
    <col min="4" max="4" width="14.140625" customWidth="1"/>
  </cols>
  <sheetData>
    <row r="1" spans="1:4" x14ac:dyDescent="0.25">
      <c r="A1" s="5" t="s">
        <v>0</v>
      </c>
      <c r="B1" s="6" t="s">
        <v>1</v>
      </c>
      <c r="C1" s="6" t="s">
        <v>2</v>
      </c>
      <c r="D1" s="6" t="s">
        <v>6</v>
      </c>
    </row>
    <row r="2" spans="1:4" x14ac:dyDescent="0.25">
      <c r="A2" s="7">
        <v>3</v>
      </c>
      <c r="B2" s="8">
        <v>74</v>
      </c>
      <c r="C2" s="8" t="s">
        <v>23</v>
      </c>
      <c r="D2" s="8" t="s">
        <v>22</v>
      </c>
    </row>
    <row r="3" spans="1:4" x14ac:dyDescent="0.25">
      <c r="A3" s="9">
        <v>6</v>
      </c>
      <c r="B3" s="10">
        <v>97</v>
      </c>
      <c r="C3" s="10" t="s">
        <v>23</v>
      </c>
      <c r="D3" s="10" t="s">
        <v>21</v>
      </c>
    </row>
    <row r="4" spans="1:4" x14ac:dyDescent="0.25">
      <c r="A4" s="7">
        <v>9</v>
      </c>
      <c r="B4" s="8">
        <v>73</v>
      </c>
      <c r="C4" s="8" t="s">
        <v>23</v>
      </c>
      <c r="D4" s="8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E4" sqref="E4"/>
    </sheetView>
  </sheetViews>
  <sheetFormatPr defaultRowHeight="15" x14ac:dyDescent="0.25"/>
  <cols>
    <col min="2" max="2" width="14.7109375" customWidth="1"/>
    <col min="3" max="3" width="12.28515625" customWidth="1"/>
    <col min="4" max="4" width="12.42578125" customWidth="1"/>
  </cols>
  <sheetData>
    <row r="1" spans="1:4" x14ac:dyDescent="0.25">
      <c r="A1" s="5" t="s">
        <v>0</v>
      </c>
      <c r="B1" s="6" t="s">
        <v>1</v>
      </c>
      <c r="C1" s="6" t="s">
        <v>2</v>
      </c>
      <c r="D1" s="6" t="s">
        <v>6</v>
      </c>
    </row>
    <row r="2" spans="1:4" x14ac:dyDescent="0.25">
      <c r="A2" s="7">
        <v>1</v>
      </c>
      <c r="B2" s="8">
        <v>85</v>
      </c>
      <c r="C2" s="8" t="s">
        <v>5</v>
      </c>
      <c r="D2" s="8" t="s">
        <v>21</v>
      </c>
    </row>
    <row r="3" spans="1:4" x14ac:dyDescent="0.25">
      <c r="A3" s="9">
        <v>5</v>
      </c>
      <c r="B3" s="10">
        <v>74</v>
      </c>
      <c r="C3" s="10" t="s">
        <v>5</v>
      </c>
      <c r="D3" s="10" t="s">
        <v>22</v>
      </c>
    </row>
    <row r="4" spans="1:4" x14ac:dyDescent="0.25">
      <c r="A4" s="7">
        <v>8</v>
      </c>
      <c r="B4" s="8">
        <v>90</v>
      </c>
      <c r="C4" s="8" t="s">
        <v>5</v>
      </c>
      <c r="D4" s="8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D12" sqref="D12"/>
    </sheetView>
  </sheetViews>
  <sheetFormatPr defaultRowHeight="15" x14ac:dyDescent="0.25"/>
  <cols>
    <col min="1" max="1" width="15" customWidth="1"/>
    <col min="2" max="2" width="15.5703125" customWidth="1"/>
    <col min="3" max="3" width="13.7109375" customWidth="1"/>
    <col min="4" max="4" width="15.42578125" customWidth="1"/>
  </cols>
  <sheetData>
    <row r="1" spans="1:4" x14ac:dyDescent="0.25">
      <c r="A1" s="5" t="s">
        <v>0</v>
      </c>
      <c r="B1" s="6" t="s">
        <v>1</v>
      </c>
      <c r="C1" s="6" t="s">
        <v>2</v>
      </c>
      <c r="D1" s="6" t="s">
        <v>6</v>
      </c>
    </row>
    <row r="2" spans="1:4" x14ac:dyDescent="0.25">
      <c r="A2" s="7">
        <v>1</v>
      </c>
      <c r="B2" s="8">
        <v>85</v>
      </c>
      <c r="C2" s="8" t="s">
        <v>5</v>
      </c>
      <c r="D2" s="8" t="s">
        <v>21</v>
      </c>
    </row>
    <row r="3" spans="1:4" x14ac:dyDescent="0.25">
      <c r="A3" s="9">
        <v>2</v>
      </c>
      <c r="B3" s="10">
        <v>92</v>
      </c>
      <c r="C3" s="10" t="s">
        <v>3</v>
      </c>
      <c r="D3" s="10" t="s">
        <v>21</v>
      </c>
    </row>
    <row r="4" spans="1:4" x14ac:dyDescent="0.25">
      <c r="A4" s="7">
        <v>4</v>
      </c>
      <c r="B4" s="8">
        <v>88</v>
      </c>
      <c r="C4" s="8" t="s">
        <v>3</v>
      </c>
      <c r="D4" s="8" t="s">
        <v>21</v>
      </c>
    </row>
    <row r="5" spans="1:4" x14ac:dyDescent="0.25">
      <c r="A5" s="9">
        <v>6</v>
      </c>
      <c r="B5" s="10">
        <v>97</v>
      </c>
      <c r="C5" s="10" t="s">
        <v>4</v>
      </c>
      <c r="D5" s="10" t="s">
        <v>21</v>
      </c>
    </row>
    <row r="6" spans="1:4" x14ac:dyDescent="0.25">
      <c r="A6" s="7">
        <v>7</v>
      </c>
      <c r="B6" s="8">
        <v>79</v>
      </c>
      <c r="C6" s="8" t="s">
        <v>3</v>
      </c>
      <c r="D6" s="8" t="s">
        <v>21</v>
      </c>
    </row>
    <row r="7" spans="1:4" x14ac:dyDescent="0.25">
      <c r="A7" s="9">
        <v>8</v>
      </c>
      <c r="B7" s="10">
        <v>90</v>
      </c>
      <c r="C7" s="10" t="s">
        <v>5</v>
      </c>
      <c r="D7" s="10" t="s">
        <v>21</v>
      </c>
    </row>
    <row r="8" spans="1:4" x14ac:dyDescent="0.25">
      <c r="A8" s="7">
        <v>10</v>
      </c>
      <c r="B8" s="8">
        <v>84</v>
      </c>
      <c r="C8" s="8" t="s">
        <v>3</v>
      </c>
      <c r="D8" s="8" t="s">
        <v>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C7" sqref="C7"/>
    </sheetView>
  </sheetViews>
  <sheetFormatPr defaultRowHeight="15" x14ac:dyDescent="0.25"/>
  <cols>
    <col min="1" max="1" width="12.5703125" customWidth="1"/>
    <col min="2" max="2" width="17.140625" customWidth="1"/>
    <col min="3" max="3" width="16.7109375" customWidth="1"/>
    <col min="4" max="4" width="18" customWidth="1"/>
  </cols>
  <sheetData>
    <row r="1" spans="1:4" x14ac:dyDescent="0.25">
      <c r="A1" s="5" t="s">
        <v>0</v>
      </c>
      <c r="B1" s="6" t="s">
        <v>1</v>
      </c>
      <c r="C1" s="6" t="s">
        <v>2</v>
      </c>
      <c r="D1" s="6" t="s">
        <v>6</v>
      </c>
    </row>
    <row r="2" spans="1:4" x14ac:dyDescent="0.25">
      <c r="A2" s="7">
        <v>3</v>
      </c>
      <c r="B2" s="8">
        <v>74</v>
      </c>
      <c r="C2" s="8" t="s">
        <v>4</v>
      </c>
      <c r="D2" s="8" t="s">
        <v>22</v>
      </c>
    </row>
    <row r="3" spans="1:4" x14ac:dyDescent="0.25">
      <c r="A3" s="9">
        <v>5</v>
      </c>
      <c r="B3" s="10">
        <v>74</v>
      </c>
      <c r="C3" s="10" t="s">
        <v>5</v>
      </c>
      <c r="D3" s="10" t="s">
        <v>22</v>
      </c>
    </row>
    <row r="4" spans="1:4" x14ac:dyDescent="0.25">
      <c r="A4" s="7">
        <v>9</v>
      </c>
      <c r="B4" s="8">
        <v>73</v>
      </c>
      <c r="C4" s="8" t="s">
        <v>4</v>
      </c>
      <c r="D4" s="8" t="s">
        <v>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55593251557740AD65704930BA9F5B" ma:contentTypeVersion="13" ma:contentTypeDescription="Create a new document." ma:contentTypeScope="" ma:versionID="1db529633fe1a8f52ca1186168011e56">
  <xsd:schema xmlns:xsd="http://www.w3.org/2001/XMLSchema" xmlns:xs="http://www.w3.org/2001/XMLSchema" xmlns:p="http://schemas.microsoft.com/office/2006/metadata/properties" xmlns:ns2="84b45942-8797-4782-ad70-8312f31d3747" xmlns:ns3="85cf6750-fa67-4ddf-907d-94fc8e3b3ddb" targetNamespace="http://schemas.microsoft.com/office/2006/metadata/properties" ma:root="true" ma:fieldsID="0a5ee07a7a9449a49abf69d3522e3a17" ns2:_="" ns3:_="">
    <xsd:import namespace="84b45942-8797-4782-ad70-8312f31d3747"/>
    <xsd:import namespace="85cf6750-fa67-4ddf-907d-94fc8e3b3ddb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b45942-8797-4782-ad70-8312f31d3747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90c3850-1993-4f1b-9b4f-d31e9e6f4f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cf6750-fa67-4ddf-907d-94fc8e3b3dd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fc4c76eb-304c-4471-b600-791d4d45b0e3}" ma:internalName="TaxCatchAll" ma:showField="CatchAllData" ma:web="85cf6750-fa67-4ddf-907d-94fc8e3b3d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84b45942-8797-4782-ad70-8312f31d3747" xsi:nil="true"/>
    <TaxCatchAll xmlns="85cf6750-fa67-4ddf-907d-94fc8e3b3ddb" xsi:nil="true"/>
    <lcf76f155ced4ddcb4097134ff3c332f xmlns="84b45942-8797-4782-ad70-8312f31d374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BF20425-4DA8-4054-B363-095A699126C9}"/>
</file>

<file path=customXml/itemProps2.xml><?xml version="1.0" encoding="utf-8"?>
<ds:datastoreItem xmlns:ds="http://schemas.openxmlformats.org/officeDocument/2006/customXml" ds:itemID="{C27308CB-1396-4F4A-A1BC-CB51688C94BA}"/>
</file>

<file path=customXml/itemProps3.xml><?xml version="1.0" encoding="utf-8"?>
<ds:datastoreItem xmlns:ds="http://schemas.openxmlformats.org/officeDocument/2006/customXml" ds:itemID="{EDA3F835-6BC1-4507-BD92-E856E18C28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BSIT</vt:lpstr>
      <vt:lpstr>BSN</vt:lpstr>
      <vt:lpstr>BSEMC</vt:lpstr>
      <vt:lpstr>PASSED</vt:lpstr>
      <vt:lpstr>FAILED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BERNARDO, LUKE JOAQUIN</dc:creator>
  <cp:lastModifiedBy>BERNARDO, LUKE JOAQUIN</cp:lastModifiedBy>
  <dcterms:created xsi:type="dcterms:W3CDTF">2025-08-04T09:29:32Z</dcterms:created>
  <dcterms:modified xsi:type="dcterms:W3CDTF">2025-08-04T10:50:05Z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0x0101001155593251557740AD65704930BA9F5B</vt:lpwstr>
  </property>
</Properties>
</file>